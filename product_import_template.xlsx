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Products" sheetId="1" r:id="rId1"/>
  </sheets>
  <calcPr calcId="124519"/>
</workbook>
</file>

<file path=xl/calcChain.xml><?xml version="1.0" encoding="utf-8"?>
<calcChain xmlns="http://schemas.openxmlformats.org/spreadsheetml/2006/main">
  <c r="F58" i="1"/>
  <c r="F52"/>
  <c r="F48"/>
  <c r="F47"/>
  <c r="F7"/>
  <c r="F8"/>
  <c r="F9"/>
  <c r="F10"/>
  <c r="F11"/>
  <c r="F12"/>
  <c r="F13"/>
</calcChain>
</file>

<file path=xl/sharedStrings.xml><?xml version="1.0" encoding="utf-8"?>
<sst xmlns="http://schemas.openxmlformats.org/spreadsheetml/2006/main" count="152" uniqueCount="95">
  <si>
    <t>Product Code</t>
  </si>
  <si>
    <t>SKU Name</t>
  </si>
  <si>
    <t>TP Price per Pcs including Gst in PKR</t>
  </si>
  <si>
    <t>TO Scheme in PKR</t>
  </si>
  <si>
    <t>Carton Size (No of PCs)</t>
  </si>
  <si>
    <t>Carton Weight</t>
  </si>
  <si>
    <t>Weight Unit</t>
  </si>
  <si>
    <t>Effective From</t>
  </si>
  <si>
    <t>YPL Sandwich Spread</t>
  </si>
  <si>
    <t>500 ml</t>
  </si>
  <si>
    <t>YPL Peanut Butter Creamy</t>
  </si>
  <si>
    <t>340 g</t>
  </si>
  <si>
    <t>454 g</t>
  </si>
  <si>
    <t>YPL Peanut Butter Crunchy</t>
  </si>
  <si>
    <t>320 g</t>
  </si>
  <si>
    <t>YPL Pasta Twisted Macaroni</t>
  </si>
  <si>
    <t>400 g</t>
  </si>
  <si>
    <t>YPL Pasta Fusilli</t>
  </si>
  <si>
    <t>YPL Pasta Penne</t>
  </si>
  <si>
    <t>YPL Pasta Elbow Macaroni Box</t>
  </si>
  <si>
    <t>YPL Pasta Shell</t>
  </si>
  <si>
    <t>YPL Pasta Big Elbow Macaroni</t>
  </si>
  <si>
    <t>YPL Orla Cooking Oil Pillow Pouch</t>
  </si>
  <si>
    <t>1 Litre</t>
  </si>
  <si>
    <t>YPL Orla Cooking Oil Stand-Up Pouch</t>
  </si>
  <si>
    <t>YPL Orla Cooking Oil Pet Bottle</t>
  </si>
  <si>
    <t>3 Litre</t>
  </si>
  <si>
    <t>5 Litre</t>
  </si>
  <si>
    <t>YPL Orla Canola Oil Pillow Pouch</t>
  </si>
  <si>
    <t>YPL Orla Canola Oil Stand-Up Pouch</t>
  </si>
  <si>
    <t>YPL Orla Canola Oil Pet Bottle</t>
  </si>
  <si>
    <t>YPL Tayyab Cooking Oil Pillow Pouch</t>
  </si>
  <si>
    <t>YPL Tayyab Canola Oil Pillow Pouch</t>
  </si>
  <si>
    <t>2 Litre</t>
  </si>
  <si>
    <t>YPL Creamy Mayonnaise</t>
  </si>
  <si>
    <t>YPL Mayo Dressing</t>
  </si>
  <si>
    <t>Chef Choice  Mayo Dressing</t>
  </si>
  <si>
    <t>Chef Choice Mayo Maza</t>
  </si>
  <si>
    <t>Al Ahlee Mayo Dressing</t>
  </si>
  <si>
    <t>YPL Premium Mayonnaise</t>
  </si>
  <si>
    <t>4 Litre</t>
  </si>
  <si>
    <t>YPL Real Mayonnaise</t>
  </si>
  <si>
    <t>YPL Classic Mayonnaise</t>
  </si>
  <si>
    <t>YPL Mayo Sriracha</t>
  </si>
  <si>
    <t>YPL French Dressing</t>
  </si>
  <si>
    <t>YPL Ranch Sauce</t>
  </si>
  <si>
    <t>YPL Ranch Sauce Silver</t>
  </si>
  <si>
    <t>YPL Thousand Island Sauce</t>
  </si>
  <si>
    <t>YPL Chipotle Sauce</t>
  </si>
  <si>
    <t xml:space="preserve">YPL Regular Mayonnaise 2ltr </t>
  </si>
  <si>
    <t>Chocoblis Crave-Dark Coco Powder 1Kg x8</t>
  </si>
  <si>
    <t>Chocobliss Crave-Dark Slab 2kg x5</t>
  </si>
  <si>
    <t>ChocoBliss Crave Milky Slab 2Kg x5</t>
  </si>
  <si>
    <t>Chocobliss CravePremium Dark Slab 2kg x5</t>
  </si>
  <si>
    <t>Chocobliss Double.Choclate GB 350gm x24</t>
  </si>
  <si>
    <t>Chocobliss Hazelnut Spread GB 350gm x24</t>
  </si>
  <si>
    <t>Chocobliss Hazelnut Spread Bucket 3kg x2</t>
  </si>
  <si>
    <t>Chocobliss Milky Spread Bucket 3kg x2</t>
  </si>
  <si>
    <t>Youngs Chocolate Topping PB 623gm x12</t>
  </si>
  <si>
    <t>Youngs Strawberry Topping PB 623gmx12</t>
  </si>
  <si>
    <t>ChocoBlis Chocolate Fudge Topping 1Kgx12</t>
  </si>
  <si>
    <t>Youngs Peri Peri Mayo Sauce PH 1Kg x 12</t>
  </si>
  <si>
    <t>Youngs Real Mayonnaise PH 4000ml x4</t>
  </si>
  <si>
    <t>Youngs BBQ Chicken Spread PH 500ml x24</t>
  </si>
  <si>
    <t>Youngs Chicken Spread PH 1000ml x12</t>
  </si>
  <si>
    <t>Youngs Chicken Spread PH 500ml x24</t>
  </si>
  <si>
    <t>Youngs Mayo Garlic PH 500ml x24</t>
  </si>
  <si>
    <t>Youngs Mayo Red Chilli PH 500ml x24</t>
  </si>
  <si>
    <t>Youngs Natural Honey PB 1kg x12</t>
  </si>
  <si>
    <t>Youngs BeeHives PB 2.85kg x4</t>
  </si>
  <si>
    <t>Jolt Vanilla Syrup PH 1Kg x 12</t>
  </si>
  <si>
    <t>Jolt Chocolate Syrup PH 1Kg x 12</t>
  </si>
  <si>
    <t>Jolt Caramel Syrup PH 1Kg x 12</t>
  </si>
  <si>
    <t>Jolt Hazelnut Syrup PH 1Kg x 12</t>
  </si>
  <si>
    <t>Dl Whippy Topping Base 2kg x6</t>
  </si>
  <si>
    <t>DL Whippy Topping Ready Whip 2kg x6</t>
  </si>
  <si>
    <t>Whippy Topping Ready Whip Classic 2kg 6P</t>
  </si>
  <si>
    <t>Dairy Chef Whipp. Topping Classic PH 1Kg</t>
  </si>
  <si>
    <t>DL CONDENSED SWEETENED MILK TIN 1KG X 12</t>
  </si>
  <si>
    <t>Youngs Orla Cooking Oil Tin 16 Ltr x 1</t>
  </si>
  <si>
    <t>Youngs Tayyab Canola Oil PLW PH 1Ltr x5</t>
  </si>
  <si>
    <t>Youngs Fry Master Tin 16 Ltr x 1</t>
  </si>
  <si>
    <t>Fusion Cola PB (1.5ltr x 6)</t>
  </si>
  <si>
    <t>Fusion Cola PB (1ltr x 6)</t>
  </si>
  <si>
    <t>DLPL Cheese Sauce PH 1Kg x 12</t>
  </si>
  <si>
    <t xml:space="preserve">2 kg </t>
  </si>
  <si>
    <t>350 gm</t>
  </si>
  <si>
    <t xml:space="preserve">3 kg </t>
  </si>
  <si>
    <t>623 gm</t>
  </si>
  <si>
    <t xml:space="preserve">1 kg </t>
  </si>
  <si>
    <t>2.85 kg</t>
  </si>
  <si>
    <t>1 kg</t>
  </si>
  <si>
    <t>16  Litre</t>
  </si>
  <si>
    <t>1.5 Litre</t>
  </si>
  <si>
    <t xml:space="preserve">1 Kg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</si>
</sst>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  <xf numFmtId="0" fontId="1" fillId="0" borderId="2" xfId="0" applyFont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>
      <pane ySplit="1" topLeftCell="A64" activePane="bottomLeft" state="frozen"/>
      <selection pane="bottomLeft"/>
    </sheetView>
  </sheetViews>
  <sheetFormatPr defaultRowHeight="15"/>
  <cols>
    <col min="1" max="1" width="18" customWidth="1"/>
    <col min="2" max="2" width="42.7109375" bestFit="1" customWidth="1"/>
    <col min="3" max="3" width="36" customWidth="1"/>
    <col min="4" max="4" width="20" customWidth="1"/>
    <col min="5" max="5" width="26" customWidth="1"/>
    <col min="6" max="6" width="18" customWidth="1"/>
    <col min="7" max="7" width="14" customWidth="1"/>
    <col min="8" max="8" width="18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>
      <c r="A2" s="4">
        <v>5295</v>
      </c>
      <c r="B2" s="5" t="s">
        <v>8</v>
      </c>
      <c r="C2" s="6">
        <v>493.51</v>
      </c>
      <c r="D2" s="11"/>
      <c r="E2" s="8">
        <v>24</v>
      </c>
      <c r="F2" s="11"/>
      <c r="G2" s="8" t="s">
        <v>9</v>
      </c>
      <c r="H2" s="7"/>
      <c r="L2" s="1">
        <v>493.51</v>
      </c>
    </row>
    <row r="3" spans="1:12">
      <c r="A3" s="4">
        <v>5581</v>
      </c>
      <c r="B3" s="5" t="s">
        <v>10</v>
      </c>
      <c r="C3" s="6">
        <v>733.71</v>
      </c>
      <c r="D3" s="11"/>
      <c r="E3" s="8">
        <v>24</v>
      </c>
      <c r="F3" s="11"/>
      <c r="G3" s="8" t="s">
        <v>11</v>
      </c>
      <c r="H3" s="7"/>
      <c r="L3" s="1">
        <v>733.71</v>
      </c>
    </row>
    <row r="4" spans="1:12">
      <c r="A4" s="4">
        <v>5582</v>
      </c>
      <c r="B4" s="5" t="s">
        <v>10</v>
      </c>
      <c r="C4" s="6">
        <v>918.8</v>
      </c>
      <c r="D4" s="11"/>
      <c r="E4" s="8">
        <v>24</v>
      </c>
      <c r="F4" s="11"/>
      <c r="G4" s="8" t="s">
        <v>12</v>
      </c>
      <c r="H4" s="7"/>
      <c r="L4" s="1">
        <v>918.8</v>
      </c>
    </row>
    <row r="5" spans="1:12">
      <c r="A5" s="4">
        <v>5596</v>
      </c>
      <c r="B5" s="5" t="s">
        <v>13</v>
      </c>
      <c r="C5" s="6">
        <v>695.78</v>
      </c>
      <c r="D5" s="11"/>
      <c r="E5" s="8">
        <v>24</v>
      </c>
      <c r="F5" s="11"/>
      <c r="G5" s="8" t="s">
        <v>14</v>
      </c>
      <c r="H5" s="7"/>
      <c r="L5" s="1">
        <v>695.78</v>
      </c>
    </row>
    <row r="6" spans="1:12">
      <c r="A6" s="4">
        <v>5583</v>
      </c>
      <c r="B6" s="5" t="s">
        <v>13</v>
      </c>
      <c r="C6" s="6">
        <v>733.71</v>
      </c>
      <c r="D6" s="11"/>
      <c r="E6" s="8">
        <v>24</v>
      </c>
      <c r="F6" s="11"/>
      <c r="G6" s="8" t="s">
        <v>11</v>
      </c>
      <c r="H6" s="7"/>
      <c r="L6" s="1">
        <v>733.71</v>
      </c>
    </row>
    <row r="7" spans="1:12">
      <c r="A7" s="4">
        <v>5584</v>
      </c>
      <c r="B7" s="5" t="s">
        <v>13</v>
      </c>
      <c r="C7" s="6">
        <v>918.8</v>
      </c>
      <c r="D7" s="11"/>
      <c r="E7" s="8">
        <v>24</v>
      </c>
      <c r="F7" s="11">
        <f>10896/1000</f>
        <v>10.896000000000001</v>
      </c>
      <c r="G7" s="8" t="s">
        <v>12</v>
      </c>
      <c r="H7" s="7"/>
      <c r="L7" s="1">
        <v>918.8</v>
      </c>
    </row>
    <row r="8" spans="1:12">
      <c r="A8" s="4">
        <v>5701</v>
      </c>
      <c r="B8" s="5" t="s">
        <v>15</v>
      </c>
      <c r="C8" s="6">
        <v>218.11</v>
      </c>
      <c r="D8" s="11"/>
      <c r="E8" s="8">
        <v>36</v>
      </c>
      <c r="F8" s="11">
        <f>14400/1000</f>
        <v>14.4</v>
      </c>
      <c r="G8" s="8" t="s">
        <v>16</v>
      </c>
      <c r="H8" s="7"/>
      <c r="L8" s="1">
        <v>218.11</v>
      </c>
    </row>
    <row r="9" spans="1:12">
      <c r="A9" s="4">
        <v>5702</v>
      </c>
      <c r="B9" s="5" t="s">
        <v>17</v>
      </c>
      <c r="C9" s="6">
        <v>218.11</v>
      </c>
      <c r="D9" s="11"/>
      <c r="E9" s="8">
        <v>36</v>
      </c>
      <c r="F9" s="11">
        <f>14400/1000</f>
        <v>14.4</v>
      </c>
      <c r="G9" s="8" t="s">
        <v>16</v>
      </c>
      <c r="H9" s="7"/>
      <c r="L9" s="1">
        <v>218.11</v>
      </c>
    </row>
    <row r="10" spans="1:12">
      <c r="A10" s="4">
        <v>5703</v>
      </c>
      <c r="B10" s="5" t="s">
        <v>18</v>
      </c>
      <c r="C10" s="6">
        <v>218.11</v>
      </c>
      <c r="D10" s="11"/>
      <c r="E10" s="8">
        <v>36</v>
      </c>
      <c r="F10" s="11">
        <f>14400/1000</f>
        <v>14.4</v>
      </c>
      <c r="G10" s="8" t="s">
        <v>16</v>
      </c>
      <c r="H10" s="7"/>
      <c r="L10" s="1">
        <v>218.11</v>
      </c>
    </row>
    <row r="11" spans="1:12">
      <c r="A11" s="4">
        <v>5704</v>
      </c>
      <c r="B11" s="5" t="s">
        <v>19</v>
      </c>
      <c r="C11" s="6">
        <v>218.11</v>
      </c>
      <c r="D11" s="11"/>
      <c r="E11" s="8">
        <v>36</v>
      </c>
      <c r="F11" s="11">
        <f>14400/1000</f>
        <v>14.4</v>
      </c>
      <c r="G11" s="8" t="s">
        <v>16</v>
      </c>
      <c r="H11" s="7"/>
      <c r="L11" s="1">
        <v>218.11</v>
      </c>
    </row>
    <row r="12" spans="1:12">
      <c r="A12" s="4">
        <v>5705</v>
      </c>
      <c r="B12" s="5" t="s">
        <v>20</v>
      </c>
      <c r="C12" s="6">
        <v>218.11</v>
      </c>
      <c r="D12" s="11"/>
      <c r="E12" s="8">
        <v>36</v>
      </c>
      <c r="F12" s="11">
        <f>14400/1000</f>
        <v>14.4</v>
      </c>
      <c r="G12" s="8" t="s">
        <v>16</v>
      </c>
      <c r="H12" s="7"/>
      <c r="L12" s="1">
        <v>218.11</v>
      </c>
    </row>
    <row r="13" spans="1:12">
      <c r="A13" s="4">
        <v>5706</v>
      </c>
      <c r="B13" s="5" t="s">
        <v>21</v>
      </c>
      <c r="C13" s="6">
        <v>218.11</v>
      </c>
      <c r="D13" s="11"/>
      <c r="E13" s="8">
        <v>36</v>
      </c>
      <c r="F13" s="11">
        <f>14400/1000</f>
        <v>14.4</v>
      </c>
      <c r="G13" s="8" t="s">
        <v>16</v>
      </c>
      <c r="H13" s="7"/>
      <c r="L13" s="1">
        <v>218.11</v>
      </c>
    </row>
    <row r="14" spans="1:12">
      <c r="A14" s="4">
        <v>5622</v>
      </c>
      <c r="B14" s="5" t="s">
        <v>22</v>
      </c>
      <c r="C14" s="9">
        <v>2911.02</v>
      </c>
      <c r="D14" s="11"/>
      <c r="E14" s="8">
        <v>5</v>
      </c>
      <c r="F14" s="11">
        <v>5</v>
      </c>
      <c r="G14" s="8" t="s">
        <v>23</v>
      </c>
      <c r="H14" s="7"/>
      <c r="L14" s="2">
        <v>2911.02</v>
      </c>
    </row>
    <row r="15" spans="1:12">
      <c r="A15" s="4">
        <v>5623</v>
      </c>
      <c r="B15" s="5" t="s">
        <v>24</v>
      </c>
      <c r="C15" s="9">
        <v>2961.02</v>
      </c>
      <c r="D15" s="11"/>
      <c r="E15" s="8">
        <v>5</v>
      </c>
      <c r="F15" s="11">
        <v>5</v>
      </c>
      <c r="G15" s="8" t="s">
        <v>23</v>
      </c>
      <c r="H15" s="7"/>
      <c r="L15" s="2">
        <v>2961.02</v>
      </c>
    </row>
    <row r="16" spans="1:12">
      <c r="A16" s="4">
        <v>5624</v>
      </c>
      <c r="B16" s="5" t="s">
        <v>25</v>
      </c>
      <c r="C16" s="9">
        <v>1771.76</v>
      </c>
      <c r="D16" s="11"/>
      <c r="E16" s="8">
        <v>6</v>
      </c>
      <c r="F16" s="11"/>
      <c r="G16" s="8" t="s">
        <v>26</v>
      </c>
      <c r="H16" s="7"/>
      <c r="L16" s="2">
        <v>1771.76</v>
      </c>
    </row>
    <row r="17" spans="1:12">
      <c r="A17" s="4">
        <v>5625</v>
      </c>
      <c r="B17" s="5" t="s">
        <v>25</v>
      </c>
      <c r="C17" s="9">
        <v>2922.02</v>
      </c>
      <c r="D17" s="11"/>
      <c r="E17" s="8">
        <v>4</v>
      </c>
      <c r="F17" s="11"/>
      <c r="G17" s="8" t="s">
        <v>27</v>
      </c>
      <c r="H17" s="7"/>
      <c r="L17" s="2">
        <v>2922.02</v>
      </c>
    </row>
    <row r="18" spans="1:12">
      <c r="A18" s="4">
        <v>5618</v>
      </c>
      <c r="B18" s="5" t="s">
        <v>28</v>
      </c>
      <c r="C18" s="9">
        <v>2911.02</v>
      </c>
      <c r="D18" s="11"/>
      <c r="E18" s="8">
        <v>5</v>
      </c>
      <c r="F18" s="11"/>
      <c r="G18" s="8" t="s">
        <v>23</v>
      </c>
      <c r="H18" s="7"/>
      <c r="L18" s="2">
        <v>2911.02</v>
      </c>
    </row>
    <row r="19" spans="1:12">
      <c r="A19" s="4">
        <v>5619</v>
      </c>
      <c r="B19" s="5" t="s">
        <v>29</v>
      </c>
      <c r="C19" s="9">
        <v>2961.02</v>
      </c>
      <c r="D19" s="11"/>
      <c r="E19" s="8">
        <v>5</v>
      </c>
      <c r="F19" s="11"/>
      <c r="G19" s="8" t="s">
        <v>23</v>
      </c>
      <c r="H19" s="7"/>
      <c r="L19" s="2">
        <v>2961.02</v>
      </c>
    </row>
    <row r="20" spans="1:12">
      <c r="A20" s="4">
        <v>5620</v>
      </c>
      <c r="B20" s="5" t="s">
        <v>30</v>
      </c>
      <c r="C20" s="9">
        <v>1771.76</v>
      </c>
      <c r="D20" s="11"/>
      <c r="E20" s="8">
        <v>6</v>
      </c>
      <c r="F20" s="11"/>
      <c r="G20" s="8" t="s">
        <v>26</v>
      </c>
      <c r="H20" s="7"/>
      <c r="L20" s="2">
        <v>1771.76</v>
      </c>
    </row>
    <row r="21" spans="1:12">
      <c r="A21" s="4">
        <v>5621</v>
      </c>
      <c r="B21" s="5" t="s">
        <v>30</v>
      </c>
      <c r="C21" s="9">
        <v>2922.02</v>
      </c>
      <c r="D21" s="11"/>
      <c r="E21" s="8">
        <v>4</v>
      </c>
      <c r="F21" s="11">
        <v>4</v>
      </c>
      <c r="G21" s="8" t="s">
        <v>27</v>
      </c>
      <c r="H21" s="7"/>
      <c r="L21" s="2">
        <v>2922.02</v>
      </c>
    </row>
    <row r="22" spans="1:12">
      <c r="A22" s="4">
        <v>5631</v>
      </c>
      <c r="B22" s="5" t="s">
        <v>31</v>
      </c>
      <c r="C22" s="9">
        <v>2911.02</v>
      </c>
      <c r="D22" s="11"/>
      <c r="E22" s="8">
        <v>5</v>
      </c>
      <c r="F22" s="11">
        <v>5</v>
      </c>
      <c r="G22" s="8" t="s">
        <v>23</v>
      </c>
      <c r="H22" s="7"/>
      <c r="L22" s="2">
        <v>2911.02</v>
      </c>
    </row>
    <row r="23" spans="1:12">
      <c r="A23" s="4">
        <v>5632</v>
      </c>
      <c r="B23" s="5" t="s">
        <v>32</v>
      </c>
      <c r="C23" s="9">
        <v>2911.02</v>
      </c>
      <c r="D23" s="11"/>
      <c r="E23" s="8">
        <v>5</v>
      </c>
      <c r="F23" s="11">
        <v>5</v>
      </c>
      <c r="G23" s="8" t="s">
        <v>23</v>
      </c>
      <c r="H23" s="7"/>
      <c r="L23" s="2">
        <v>2911.02</v>
      </c>
    </row>
    <row r="24" spans="1:12">
      <c r="A24" s="4">
        <v>5111</v>
      </c>
      <c r="B24" s="5" t="s">
        <v>49</v>
      </c>
      <c r="C24" s="6">
        <v>940</v>
      </c>
      <c r="D24" s="11"/>
      <c r="E24" s="8">
        <v>8</v>
      </c>
      <c r="F24" s="11">
        <v>16</v>
      </c>
      <c r="G24" s="8" t="s">
        <v>33</v>
      </c>
      <c r="H24" s="7"/>
      <c r="L24" s="1">
        <v>940</v>
      </c>
    </row>
    <row r="25" spans="1:12">
      <c r="A25" s="4">
        <v>5113</v>
      </c>
      <c r="B25" s="5" t="s">
        <v>34</v>
      </c>
      <c r="C25" s="6">
        <v>940</v>
      </c>
      <c r="D25" s="11"/>
      <c r="E25" s="8">
        <v>8</v>
      </c>
      <c r="F25" s="11">
        <v>16</v>
      </c>
      <c r="G25" s="8" t="s">
        <v>33</v>
      </c>
      <c r="H25" s="7"/>
      <c r="L25" s="1">
        <v>940</v>
      </c>
    </row>
    <row r="26" spans="1:12">
      <c r="A26" s="4">
        <v>5030</v>
      </c>
      <c r="B26" s="5" t="s">
        <v>35</v>
      </c>
      <c r="C26" s="6">
        <v>600</v>
      </c>
      <c r="D26" s="11"/>
      <c r="E26" s="8">
        <v>8</v>
      </c>
      <c r="F26" s="11">
        <v>16</v>
      </c>
      <c r="G26" s="8" t="s">
        <v>33</v>
      </c>
      <c r="H26" s="7"/>
      <c r="L26" s="1">
        <v>600</v>
      </c>
    </row>
    <row r="27" spans="1:12">
      <c r="A27" s="4">
        <v>5441</v>
      </c>
      <c r="B27" s="10" t="s">
        <v>36</v>
      </c>
      <c r="C27" s="6">
        <v>505</v>
      </c>
      <c r="D27" s="11"/>
      <c r="E27" s="8">
        <v>8</v>
      </c>
      <c r="F27" s="11">
        <v>16</v>
      </c>
      <c r="G27" s="8" t="s">
        <v>33</v>
      </c>
      <c r="H27" s="7"/>
      <c r="L27" s="1">
        <v>505</v>
      </c>
    </row>
    <row r="28" spans="1:12">
      <c r="A28" s="4">
        <v>5123</v>
      </c>
      <c r="B28" s="8" t="s">
        <v>37</v>
      </c>
      <c r="C28" s="6">
        <v>500</v>
      </c>
      <c r="D28" s="11"/>
      <c r="E28" s="8">
        <v>8</v>
      </c>
      <c r="F28" s="11">
        <v>16</v>
      </c>
      <c r="G28" s="8" t="s">
        <v>33</v>
      </c>
      <c r="H28" s="7"/>
      <c r="L28" s="1">
        <v>500</v>
      </c>
    </row>
    <row r="29" spans="1:12">
      <c r="A29" s="4">
        <v>5641</v>
      </c>
      <c r="B29" s="8" t="s">
        <v>38</v>
      </c>
      <c r="C29" s="6">
        <v>334.24</v>
      </c>
      <c r="D29" s="11"/>
      <c r="E29" s="8">
        <v>8</v>
      </c>
      <c r="F29" s="11">
        <v>16</v>
      </c>
      <c r="G29" s="8" t="s">
        <v>33</v>
      </c>
      <c r="H29" s="7"/>
      <c r="L29" s="1">
        <v>334.24</v>
      </c>
    </row>
    <row r="30" spans="1:12">
      <c r="A30" s="4">
        <v>5482</v>
      </c>
      <c r="B30" s="5" t="s">
        <v>39</v>
      </c>
      <c r="C30" s="9">
        <v>2600</v>
      </c>
      <c r="D30" s="11"/>
      <c r="E30" s="8">
        <v>4</v>
      </c>
      <c r="F30" s="11">
        <v>16</v>
      </c>
      <c r="G30" s="8" t="s">
        <v>40</v>
      </c>
      <c r="H30" s="7"/>
      <c r="L30" s="2">
        <v>2600</v>
      </c>
    </row>
    <row r="31" spans="1:12">
      <c r="A31" s="4">
        <v>5124</v>
      </c>
      <c r="B31" s="5" t="s">
        <v>41</v>
      </c>
      <c r="C31" s="9">
        <v>1700</v>
      </c>
      <c r="D31" s="11"/>
      <c r="E31" s="8">
        <v>8</v>
      </c>
      <c r="F31" s="11">
        <v>16</v>
      </c>
      <c r="G31" s="8" t="s">
        <v>33</v>
      </c>
      <c r="H31" s="7"/>
      <c r="L31" s="2">
        <v>1700</v>
      </c>
    </row>
    <row r="32" spans="1:12">
      <c r="A32" s="4">
        <v>5373</v>
      </c>
      <c r="B32" s="5" t="s">
        <v>42</v>
      </c>
      <c r="C32" s="6">
        <v>940</v>
      </c>
      <c r="D32" s="11"/>
      <c r="E32" s="8">
        <v>8</v>
      </c>
      <c r="F32" s="11">
        <v>16</v>
      </c>
      <c r="G32" s="8" t="s">
        <v>33</v>
      </c>
      <c r="H32" s="7"/>
      <c r="L32" s="1">
        <v>940</v>
      </c>
    </row>
    <row r="33" spans="1:12">
      <c r="A33" s="4">
        <v>5473</v>
      </c>
      <c r="B33" s="5" t="s">
        <v>43</v>
      </c>
      <c r="C33" s="6">
        <v>950</v>
      </c>
      <c r="D33" s="11"/>
      <c r="E33" s="8">
        <v>12</v>
      </c>
      <c r="F33" s="11">
        <v>12</v>
      </c>
      <c r="G33" s="8" t="s">
        <v>23</v>
      </c>
      <c r="H33" s="7"/>
      <c r="L33" s="1">
        <v>950</v>
      </c>
    </row>
    <row r="34" spans="1:12">
      <c r="A34" s="4">
        <v>5470</v>
      </c>
      <c r="B34" s="5" t="s">
        <v>44</v>
      </c>
      <c r="C34" s="6">
        <v>800</v>
      </c>
      <c r="D34" s="11"/>
      <c r="E34" s="8">
        <v>12</v>
      </c>
      <c r="F34" s="11">
        <v>12</v>
      </c>
      <c r="G34" s="8" t="s">
        <v>23</v>
      </c>
      <c r="H34" s="7"/>
      <c r="L34" s="1">
        <v>800</v>
      </c>
    </row>
    <row r="35" spans="1:12">
      <c r="A35" s="4">
        <v>5435</v>
      </c>
      <c r="B35" s="5" t="s">
        <v>45</v>
      </c>
      <c r="C35" s="6">
        <v>869.5</v>
      </c>
      <c r="D35" s="11"/>
      <c r="E35" s="8">
        <v>12</v>
      </c>
      <c r="F35" s="11">
        <v>12</v>
      </c>
      <c r="G35" s="8" t="s">
        <v>23</v>
      </c>
      <c r="H35" s="7"/>
      <c r="L35" s="1">
        <v>869.5</v>
      </c>
    </row>
    <row r="36" spans="1:12">
      <c r="A36" s="4">
        <v>5570</v>
      </c>
      <c r="B36" s="5" t="s">
        <v>46</v>
      </c>
      <c r="C36" s="6">
        <v>869.5</v>
      </c>
      <c r="D36" s="11"/>
      <c r="E36" s="8">
        <v>12</v>
      </c>
      <c r="F36" s="11">
        <v>12</v>
      </c>
      <c r="G36" s="8" t="s">
        <v>23</v>
      </c>
      <c r="H36" s="7"/>
      <c r="L36" s="1">
        <v>869.5</v>
      </c>
    </row>
    <row r="37" spans="1:12">
      <c r="A37" s="4">
        <v>5471</v>
      </c>
      <c r="B37" s="5" t="s">
        <v>47</v>
      </c>
      <c r="C37" s="6">
        <v>800</v>
      </c>
      <c r="D37" s="11"/>
      <c r="E37" s="8">
        <v>12</v>
      </c>
      <c r="F37" s="11">
        <v>12</v>
      </c>
      <c r="G37" s="8" t="s">
        <v>23</v>
      </c>
      <c r="H37" s="7"/>
      <c r="L37" s="1">
        <v>800</v>
      </c>
    </row>
    <row r="38" spans="1:12">
      <c r="A38" s="4">
        <v>5539</v>
      </c>
      <c r="B38" s="5" t="s">
        <v>48</v>
      </c>
      <c r="C38" s="6">
        <v>605</v>
      </c>
      <c r="D38" s="11"/>
      <c r="E38" s="8">
        <v>12</v>
      </c>
      <c r="F38" s="11">
        <v>12</v>
      </c>
      <c r="G38" s="8" t="s">
        <v>23</v>
      </c>
      <c r="H38" s="7"/>
      <c r="L38" s="1">
        <v>605</v>
      </c>
    </row>
    <row r="39" spans="1:12">
      <c r="A39" s="10">
        <v>5347</v>
      </c>
      <c r="B39" s="10" t="s">
        <v>50</v>
      </c>
      <c r="C39" s="10">
        <v>6000</v>
      </c>
      <c r="D39" s="11"/>
      <c r="E39" s="8">
        <v>5</v>
      </c>
      <c r="F39" s="10">
        <v>8</v>
      </c>
      <c r="G39" s="8" t="s">
        <v>85</v>
      </c>
    </row>
    <row r="40" spans="1:12">
      <c r="A40" s="10">
        <v>5171</v>
      </c>
      <c r="B40" s="10" t="s">
        <v>51</v>
      </c>
      <c r="C40" s="10">
        <v>3400</v>
      </c>
      <c r="D40" s="11"/>
      <c r="E40" s="8">
        <v>5</v>
      </c>
      <c r="F40" s="10">
        <v>10</v>
      </c>
      <c r="G40" s="8" t="s">
        <v>85</v>
      </c>
    </row>
    <row r="41" spans="1:12">
      <c r="A41" s="10">
        <v>5191</v>
      </c>
      <c r="B41" s="10" t="s">
        <v>52</v>
      </c>
      <c r="C41" s="10">
        <v>2650</v>
      </c>
      <c r="D41" s="11"/>
      <c r="E41" s="8">
        <v>5</v>
      </c>
      <c r="F41" s="10">
        <v>10</v>
      </c>
      <c r="G41" s="8" t="s">
        <v>85</v>
      </c>
    </row>
    <row r="42" spans="1:12">
      <c r="A42" s="10">
        <v>5381</v>
      </c>
      <c r="B42" s="10" t="s">
        <v>53</v>
      </c>
      <c r="C42" s="10">
        <v>3600</v>
      </c>
      <c r="D42" s="11"/>
      <c r="E42" s="8">
        <v>5</v>
      </c>
      <c r="F42" s="10">
        <v>10</v>
      </c>
      <c r="G42" s="8" t="s">
        <v>85</v>
      </c>
    </row>
    <row r="43" spans="1:12">
      <c r="A43" s="10">
        <v>5480</v>
      </c>
      <c r="B43" s="10" t="s">
        <v>54</v>
      </c>
      <c r="C43" s="10">
        <v>822</v>
      </c>
      <c r="D43" s="11"/>
      <c r="E43" s="8">
        <v>24</v>
      </c>
      <c r="F43" s="11"/>
      <c r="G43" s="8" t="s">
        <v>86</v>
      </c>
    </row>
    <row r="44" spans="1:12">
      <c r="A44" s="10">
        <v>5180</v>
      </c>
      <c r="B44" s="10" t="s">
        <v>55</v>
      </c>
      <c r="C44" s="10">
        <v>821</v>
      </c>
      <c r="D44" s="11"/>
      <c r="E44" s="8">
        <v>24</v>
      </c>
      <c r="F44" s="11"/>
      <c r="G44" s="8" t="s">
        <v>86</v>
      </c>
    </row>
    <row r="45" spans="1:12">
      <c r="A45" s="10">
        <v>5412</v>
      </c>
      <c r="B45" s="10" t="s">
        <v>56</v>
      </c>
      <c r="C45" s="10">
        <v>4650</v>
      </c>
      <c r="D45" s="11"/>
      <c r="E45" s="8">
        <v>24</v>
      </c>
      <c r="F45" s="10">
        <v>6</v>
      </c>
      <c r="G45" s="8" t="s">
        <v>87</v>
      </c>
    </row>
    <row r="46" spans="1:12">
      <c r="A46" s="10">
        <v>5617</v>
      </c>
      <c r="B46" s="10" t="s">
        <v>57</v>
      </c>
      <c r="C46" s="10">
        <v>4250</v>
      </c>
      <c r="D46" s="11"/>
      <c r="E46" s="8">
        <v>2</v>
      </c>
      <c r="F46" s="10">
        <v>6</v>
      </c>
      <c r="G46" s="8" t="s">
        <v>87</v>
      </c>
    </row>
    <row r="47" spans="1:12">
      <c r="A47" s="10">
        <v>5468</v>
      </c>
      <c r="B47" s="10" t="s">
        <v>58</v>
      </c>
      <c r="C47" s="10">
        <v>674.5</v>
      </c>
      <c r="D47" s="11"/>
      <c r="E47" s="8">
        <v>12</v>
      </c>
      <c r="F47" s="11">
        <f>7476/1000</f>
        <v>7.476</v>
      </c>
      <c r="G47" s="8" t="s">
        <v>88</v>
      </c>
    </row>
    <row r="48" spans="1:12">
      <c r="A48" s="10">
        <v>5469</v>
      </c>
      <c r="B48" s="10" t="s">
        <v>59</v>
      </c>
      <c r="C48" s="10">
        <v>674.5</v>
      </c>
      <c r="D48" s="11"/>
      <c r="E48" s="8">
        <v>12</v>
      </c>
      <c r="F48" s="11">
        <f>7476/1000</f>
        <v>7.476</v>
      </c>
      <c r="G48" s="8" t="s">
        <v>88</v>
      </c>
    </row>
    <row r="49" spans="1:7">
      <c r="A49" s="10">
        <v>5586</v>
      </c>
      <c r="B49" s="10" t="s">
        <v>60</v>
      </c>
      <c r="C49" s="10">
        <v>1200</v>
      </c>
      <c r="D49" s="11"/>
      <c r="E49" s="8">
        <v>12</v>
      </c>
      <c r="F49" s="10">
        <v>12</v>
      </c>
      <c r="G49" s="8" t="s">
        <v>89</v>
      </c>
    </row>
    <row r="50" spans="1:7">
      <c r="A50" s="10">
        <v>5643</v>
      </c>
      <c r="B50" s="10" t="s">
        <v>61</v>
      </c>
      <c r="C50" s="10">
        <v>625</v>
      </c>
      <c r="D50" s="11"/>
      <c r="E50" s="8">
        <v>12</v>
      </c>
      <c r="F50" s="10">
        <v>12</v>
      </c>
      <c r="G50" s="8" t="s">
        <v>89</v>
      </c>
    </row>
    <row r="51" spans="1:7">
      <c r="A51" s="10">
        <v>5312</v>
      </c>
      <c r="B51" s="10" t="s">
        <v>62</v>
      </c>
      <c r="C51" s="10">
        <v>3400</v>
      </c>
      <c r="D51" s="11"/>
      <c r="E51" s="8">
        <v>4</v>
      </c>
      <c r="F51" s="10">
        <v>16</v>
      </c>
      <c r="G51" s="8" t="s">
        <v>40</v>
      </c>
    </row>
    <row r="52" spans="1:7">
      <c r="A52" s="10">
        <v>5204</v>
      </c>
      <c r="B52" s="10" t="s">
        <v>63</v>
      </c>
      <c r="C52" s="10">
        <v>663.5</v>
      </c>
      <c r="D52" s="11"/>
      <c r="E52" s="8">
        <v>24</v>
      </c>
      <c r="F52" s="11">
        <f>12000/1000</f>
        <v>12</v>
      </c>
      <c r="G52" s="8" t="s">
        <v>9</v>
      </c>
    </row>
    <row r="53" spans="1:7">
      <c r="A53" s="10">
        <v>5125</v>
      </c>
      <c r="B53" s="10" t="s">
        <v>64</v>
      </c>
      <c r="C53" s="10">
        <v>1146.5</v>
      </c>
      <c r="D53" s="11"/>
      <c r="E53" s="8">
        <v>12</v>
      </c>
      <c r="F53" s="10">
        <v>12</v>
      </c>
      <c r="G53" s="8" t="s">
        <v>23</v>
      </c>
    </row>
    <row r="54" spans="1:7">
      <c r="A54" s="10">
        <v>5129</v>
      </c>
      <c r="B54" s="10" t="s">
        <v>65</v>
      </c>
      <c r="C54" s="10">
        <v>645</v>
      </c>
      <c r="D54" s="11"/>
      <c r="E54" s="8">
        <v>24</v>
      </c>
      <c r="F54" s="10">
        <v>12</v>
      </c>
      <c r="G54" s="8" t="s">
        <v>9</v>
      </c>
    </row>
    <row r="55" spans="1:7">
      <c r="A55" s="10">
        <v>5132</v>
      </c>
      <c r="B55" s="10" t="s">
        <v>66</v>
      </c>
      <c r="C55" s="10">
        <v>533</v>
      </c>
      <c r="D55" s="11"/>
      <c r="E55" s="8">
        <v>24</v>
      </c>
      <c r="F55" s="10">
        <v>12</v>
      </c>
      <c r="G55" s="8" t="s">
        <v>9</v>
      </c>
    </row>
    <row r="56" spans="1:7">
      <c r="A56" s="10">
        <v>5246</v>
      </c>
      <c r="B56" s="10" t="s">
        <v>67</v>
      </c>
      <c r="C56" s="10">
        <v>496</v>
      </c>
      <c r="D56" s="11"/>
      <c r="E56" s="8">
        <v>24</v>
      </c>
      <c r="F56" s="10">
        <v>12</v>
      </c>
      <c r="G56" s="8" t="s">
        <v>9</v>
      </c>
    </row>
    <row r="57" spans="1:7">
      <c r="A57" s="10">
        <v>5093</v>
      </c>
      <c r="B57" s="10" t="s">
        <v>68</v>
      </c>
      <c r="C57" s="10">
        <v>1500</v>
      </c>
      <c r="D57" s="11"/>
      <c r="E57" s="8">
        <v>12</v>
      </c>
      <c r="F57" s="10">
        <v>12</v>
      </c>
      <c r="G57" s="8" t="s">
        <v>9</v>
      </c>
    </row>
    <row r="58" spans="1:7">
      <c r="A58" s="10">
        <v>5337</v>
      </c>
      <c r="B58" s="10" t="s">
        <v>69</v>
      </c>
      <c r="C58" s="10">
        <v>3570</v>
      </c>
      <c r="D58" s="11"/>
      <c r="E58" s="8">
        <v>4</v>
      </c>
      <c r="F58" s="11">
        <f>11.4</f>
        <v>11.4</v>
      </c>
      <c r="G58" s="8" t="s">
        <v>89</v>
      </c>
    </row>
    <row r="59" spans="1:7">
      <c r="A59" s="10">
        <v>2008000072</v>
      </c>
      <c r="B59" s="10" t="s">
        <v>70</v>
      </c>
      <c r="C59" s="10">
        <v>2400</v>
      </c>
      <c r="D59" s="11"/>
      <c r="E59" s="8">
        <v>12</v>
      </c>
      <c r="F59" s="10">
        <v>12</v>
      </c>
      <c r="G59" s="8" t="s">
        <v>90</v>
      </c>
    </row>
    <row r="60" spans="1:7">
      <c r="A60" s="10">
        <v>2008000073</v>
      </c>
      <c r="B60" s="10" t="s">
        <v>71</v>
      </c>
      <c r="C60" s="10">
        <v>2400</v>
      </c>
      <c r="D60" s="11"/>
      <c r="E60" s="8">
        <v>12</v>
      </c>
      <c r="F60" s="10">
        <v>12</v>
      </c>
      <c r="G60" s="8" t="s">
        <v>91</v>
      </c>
    </row>
    <row r="61" spans="1:7">
      <c r="A61" s="10">
        <v>2008000074</v>
      </c>
      <c r="B61" s="10" t="s">
        <v>72</v>
      </c>
      <c r="C61" s="10">
        <v>2400</v>
      </c>
      <c r="D61" s="11"/>
      <c r="E61" s="8">
        <v>12</v>
      </c>
      <c r="F61" s="10">
        <v>12</v>
      </c>
      <c r="G61" s="8" t="s">
        <v>91</v>
      </c>
    </row>
    <row r="62" spans="1:7">
      <c r="A62" s="10">
        <v>2008000075</v>
      </c>
      <c r="B62" s="10" t="s">
        <v>73</v>
      </c>
      <c r="C62" s="10">
        <v>2400</v>
      </c>
      <c r="D62" s="11"/>
      <c r="E62" s="8">
        <v>12</v>
      </c>
      <c r="F62" s="10">
        <v>12</v>
      </c>
      <c r="G62" s="8" t="s">
        <v>91</v>
      </c>
    </row>
    <row r="63" spans="1:7">
      <c r="A63" s="10">
        <v>2008000033</v>
      </c>
      <c r="B63" s="10" t="s">
        <v>74</v>
      </c>
      <c r="C63" s="10">
        <v>1817.2</v>
      </c>
      <c r="D63" s="11"/>
      <c r="E63" s="8">
        <v>6</v>
      </c>
      <c r="F63" s="10">
        <v>12</v>
      </c>
      <c r="G63" s="8" t="s">
        <v>85</v>
      </c>
    </row>
    <row r="64" spans="1:7">
      <c r="A64" s="10">
        <v>2008000018</v>
      </c>
      <c r="B64" s="10" t="s">
        <v>75</v>
      </c>
      <c r="C64" s="10">
        <v>1486.8</v>
      </c>
      <c r="D64" s="11"/>
      <c r="E64" s="8">
        <v>6</v>
      </c>
      <c r="F64" s="10">
        <v>12</v>
      </c>
      <c r="G64" s="8" t="s">
        <v>85</v>
      </c>
    </row>
    <row r="65" spans="1:7">
      <c r="A65" s="10">
        <v>2008000047</v>
      </c>
      <c r="B65" s="10" t="s">
        <v>76</v>
      </c>
      <c r="C65" s="10">
        <v>1145.19</v>
      </c>
      <c r="D65" s="11"/>
      <c r="E65" s="8">
        <v>6</v>
      </c>
      <c r="F65" s="10">
        <v>12</v>
      </c>
      <c r="G65" s="8" t="s">
        <v>85</v>
      </c>
    </row>
    <row r="66" spans="1:7">
      <c r="A66" s="10">
        <v>2008000114</v>
      </c>
      <c r="B66" s="10" t="s">
        <v>77</v>
      </c>
      <c r="C66" s="10">
        <v>489.7</v>
      </c>
      <c r="D66" s="11"/>
      <c r="E66" s="8">
        <v>612</v>
      </c>
      <c r="F66" s="10">
        <v>12</v>
      </c>
      <c r="G66" s="8" t="s">
        <v>85</v>
      </c>
    </row>
    <row r="67" spans="1:7">
      <c r="A67" s="10">
        <v>2008000116</v>
      </c>
      <c r="B67" s="10" t="s">
        <v>78</v>
      </c>
      <c r="C67" s="10">
        <v>580</v>
      </c>
      <c r="D67" s="11"/>
      <c r="E67" s="8">
        <v>12</v>
      </c>
      <c r="F67" s="10">
        <v>12</v>
      </c>
      <c r="G67" s="8" t="s">
        <v>91</v>
      </c>
    </row>
    <row r="68" spans="1:7">
      <c r="A68" s="10">
        <v>5684</v>
      </c>
      <c r="B68" s="10" t="s">
        <v>79</v>
      </c>
      <c r="C68" s="10">
        <v>8400</v>
      </c>
      <c r="D68" s="11"/>
      <c r="E68" s="8">
        <v>1</v>
      </c>
      <c r="F68" s="10">
        <v>16</v>
      </c>
      <c r="G68" s="8" t="s">
        <v>92</v>
      </c>
    </row>
    <row r="69" spans="1:7">
      <c r="A69" s="10">
        <v>5632</v>
      </c>
      <c r="B69" s="10" t="s">
        <v>80</v>
      </c>
      <c r="C69" s="10">
        <v>2745</v>
      </c>
      <c r="D69" s="11"/>
      <c r="E69" s="8">
        <v>1</v>
      </c>
      <c r="F69" s="10">
        <v>5</v>
      </c>
      <c r="G69" s="8" t="s">
        <v>27</v>
      </c>
    </row>
    <row r="70" spans="1:7">
      <c r="A70" s="10">
        <v>5710</v>
      </c>
      <c r="B70" s="10" t="s">
        <v>81</v>
      </c>
      <c r="C70" s="10">
        <v>8000</v>
      </c>
      <c r="D70" s="11"/>
      <c r="E70" s="8">
        <v>1</v>
      </c>
      <c r="F70" s="10">
        <v>16</v>
      </c>
      <c r="G70" s="8" t="s">
        <v>92</v>
      </c>
    </row>
    <row r="71" spans="1:7">
      <c r="A71" s="10">
        <v>2</v>
      </c>
      <c r="B71" s="10" t="s">
        <v>82</v>
      </c>
      <c r="C71" s="10">
        <v>800</v>
      </c>
      <c r="D71" s="11"/>
      <c r="E71" s="8">
        <v>1</v>
      </c>
      <c r="F71" s="11"/>
      <c r="G71" s="8" t="s">
        <v>93</v>
      </c>
    </row>
    <row r="72" spans="1:7">
      <c r="A72" s="10">
        <v>1</v>
      </c>
      <c r="B72" s="10" t="s">
        <v>83</v>
      </c>
      <c r="C72" s="10">
        <v>700</v>
      </c>
      <c r="D72" s="11"/>
      <c r="E72" s="8">
        <v>1</v>
      </c>
      <c r="F72" s="11"/>
      <c r="G72" s="8" t="s">
        <v>23</v>
      </c>
    </row>
    <row r="73" spans="1:7">
      <c r="A73" s="10">
        <v>2008000076</v>
      </c>
      <c r="B73" s="10" t="s">
        <v>84</v>
      </c>
      <c r="C73" s="10">
        <v>1180</v>
      </c>
      <c r="D73" s="11"/>
      <c r="E73" s="8">
        <v>12</v>
      </c>
      <c r="F73" s="10">
        <v>12</v>
      </c>
      <c r="G73" s="8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2026-08-07T14:31:17Z</dcterms:created>
  <dcterms:modified xsi:type="dcterms:W3CDTF">2026-08-07T16:09:54Z</dcterms:modified>
</cp:coreProperties>
</file>